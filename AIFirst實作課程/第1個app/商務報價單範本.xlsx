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商務報價單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<sst xmlns="http://schemas.openxmlformats.org/spreadsheetml/2006/main" uniqueCount="47">
  <si>
    <t>❖
ACME CORP
智慧科技</t>
  </si>
  <si>
    <t>商 務 報 價 單  /  QUOTATION</t>
  </si>
  <si>
    <t>報價單號：QT-20260926-001    |    報價日期：2026-09-26    |    有效期限：30 天</t>
  </si>
  <si>
    <t>專案名稱：企業數位轉型前端自動化與報價管理系統建置</t>
  </si>
  <si>
    <t>【 供應商資訊 (我方) 】</t>
  </si>
  <si>
    <t>【 客戶買受人資訊 】</t>
  </si>
  <si>
    <t>公司名稱：星創智慧科技有限公司</t>
  </si>
  <si>
    <t>客戶名稱：宏達數位傳媒行銷有限公司</t>
  </si>
  <si>
    <t>統一編號：88889999</t>
  </si>
  <si>
    <t>統一編號：12345678</t>
  </si>
  <si>
    <t>聯絡電話：(02) 2345-6789</t>
  </si>
  <si>
    <t>聯絡窗口：陳專案經理 (0912-345-678)</t>
  </si>
  <si>
    <t>公司地址：台北市信義區信義路五段7號</t>
  </si>
  <si>
    <t>通訊地址：台北市中山區南京東路二段100號</t>
  </si>
  <si>
    <t>項次</t>
  </si>
  <si>
    <t>項目名稱</t>
  </si>
  <si>
    <t>規格說明與功能簡述</t>
  </si>
  <si>
    <t>數量</t>
  </si>
  <si>
    <t>單位</t>
  </si>
  <si>
    <t>單價 (NTD)</t>
  </si>
  <si>
    <t>小計金額 (NTD)</t>
  </si>
  <si>
    <t>企業官網響應式切版</t>
  </si>
  <si>
    <t>React + TypeScript 現代化 RWD 視覺架構</t>
  </si>
  <si>
    <t>專案</t>
  </si>
  <si>
    <t>純前端 Excel 匯出模組</t>
  </si>
  <si>
    <t>ExcelJS 樣式渲染、多格式相容與離線下載</t>
  </si>
  <si>
    <t>套件</t>
  </si>
  <si>
    <t>商務邏輯與表單運算</t>
  </si>
  <si>
    <t>營業稅、千分位計算、動態增刪項目與防呆</t>
  </si>
  <si>
    <t>式</t>
  </si>
  <si>
    <t>系統教育訓練與交接</t>
  </si>
  <si>
    <t>提供完整原始碼、操作手冊與 4 小時講師訓練</t>
  </si>
  <si>
    <t>場次</t>
  </si>
  <si>
    <t>首年維護與技術諮詢</t>
  </si>
  <si>
    <t>日常功能保固、相依套件升級檢視與線上諮詢</t>
  </si>
  <si>
    <t>個月</t>
  </si>
  <si>
    <t>銷售額合計 (未稅 Subtotal)</t>
  </si>
  <si>
    <t>加值型營業稅 (VAT 5%)</t>
  </si>
  <si>
    <t>總計金額 (含稅 Grand Total NTD)</t>
  </si>
  <si>
    <t>【 交易條款與備註說明 】</t>
  </si>
  <si>
    <t>1. 付款條件：本專案依階段請款，簽約訂金 30%、期中展示驗收 40%、上線結案驗收 30%。</t>
  </si>
  <si>
    <t>2. 匯款專戶：玉山銀行 (808) 營業部  帳號：1234-567-890123  戶名：星創智慧科技有限公司</t>
  </si>
  <si>
    <t>3. 有效天數：本報價單內容自開立日起 30 日內有效，若逾期未確認需重新評估報價。</t>
  </si>
  <si>
    <t>供應商確認簽章 (發票章 / 大小章)</t>
  </si>
  <si>
    <t>客戶簽名確認回傳 (請簽名並加蓋公司用印)</t>
  </si>
  <si>
    <t xml:space="preserve">
( 請在此處蓋用印章 )
日期：   年   月   日</t>
  </si>
  <si>
    <t xml:space="preserve">
( 請在此處簽署並加蓋公司用印 )
日期：   年   月   日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</si>
</sst>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NT&quot;[$&quot;NT$&quot;]&quot; &quot;#,##0"/>
  </numFmts>
  <fonts count="1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11"/>
      <name val="Microsoft JhengHei"/>
    </font>
    <font>
      <sz val="18"/>
      <color indexed="13"/>
      <name val="Microsoft JhengHei"/>
    </font>
    <font>
      <sz val="10"/>
      <color indexed="15"/>
      <name val="Microsoft JhengHei"/>
    </font>
    <font>
      <sz val="10"/>
      <color indexed="16"/>
      <name val="Microsoft JhengHei"/>
    </font>
    <font>
      <sz val="10"/>
      <color indexed="11"/>
      <name val="Microsoft JhengHei"/>
    </font>
    <font>
      <sz val="9"/>
      <color indexed="16"/>
      <name val="Microsoft JhengHei"/>
    </font>
    <font>
      <sz val="10"/>
      <color indexed="14"/>
      <name val="Microsoft JhengHei"/>
    </font>
    <font>
      <sz val="9"/>
      <color indexed="8"/>
      <name val="Microsoft JhengHei"/>
    </font>
    <font>
      <sz val="10"/>
      <color indexed="8"/>
      <name val="Microsoft JhengHei"/>
    </font>
    <font>
      <sz val="11"/>
      <color indexed="13"/>
      <name val="Microsoft JhengHei"/>
    </font>
    <font>
      <sz val="12"/>
      <color indexed="19"/>
      <name val="Microsoft JhengHei"/>
    </font>
    <font>
      <sz val="9"/>
      <color indexed="15"/>
      <name val="Microsoft JhengHei"/>
    </font>
    <font>
      <sz val="9"/>
      <color indexed="20"/>
      <name val="Microsoft JhengHei"/>
    </font>
    <font>
      <sz val="8"/>
      <color indexed="21"/>
      <name val="Microsoft JhengHei"/>
    </font>
  </fonts>
  <fills count="7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8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3" fillId="2" borderId="3" applyNumberFormat="0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horizontal="left" vertical="center"/>
    </xf>
    <xf numFmtId="0" fontId="4" fillId="3" borderId="2" applyNumberFormat="0" applyFont="1" applyFill="1" applyBorder="1" applyAlignment="1" applyProtection="0">
      <alignment horizontal="left" vertical="center"/>
    </xf>
    <xf numFmtId="49" fontId="5" fillId="3" borderId="4" applyNumberFormat="1" applyFont="1" applyFill="1" applyBorder="1" applyAlignment="1" applyProtection="0">
      <alignment horizontal="left" vertical="center"/>
    </xf>
    <xf numFmtId="0" fontId="5" fillId="3" borderId="2" applyNumberFormat="0" applyFont="1" applyFill="1" applyBorder="1" applyAlignment="1" applyProtection="0">
      <alignment horizontal="left" vertical="center"/>
    </xf>
    <xf numFmtId="49" fontId="6" fillId="3" borderId="4" applyNumberFormat="1" applyFont="1" applyFill="1" applyBorder="1" applyAlignment="1" applyProtection="0">
      <alignment horizontal="left" vertical="center"/>
    </xf>
    <xf numFmtId="0" fontId="6" fillId="3" borderId="2" applyNumberFormat="0" applyFont="1" applyFill="1" applyBorder="1" applyAlignment="1" applyProtection="0">
      <alignment horizontal="left" vertical="center"/>
    </xf>
    <xf numFmtId="0" fontId="0" borderId="5" applyNumberFormat="0" applyFont="1" applyFill="0" applyBorder="1" applyAlignment="1" applyProtection="0">
      <alignment vertical="bottom"/>
    </xf>
    <xf numFmtId="49" fontId="7" fillId="4" borderId="3" applyNumberFormat="1" applyFont="1" applyFill="1" applyBorder="1" applyAlignment="1" applyProtection="0">
      <alignment vertical="bottom"/>
    </xf>
    <xf numFmtId="0" fontId="7" fillId="4" borderId="3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8" borderId="3" applyNumberFormat="1" applyFont="1" applyFill="0" applyBorder="1" applyAlignment="1" applyProtection="0">
      <alignment vertical="bottom"/>
    </xf>
    <xf numFmtId="0" fontId="8" borderId="3" applyNumberFormat="0" applyFont="1" applyFill="0" applyBorder="1" applyAlignment="1" applyProtection="0">
      <alignment vertical="bottom"/>
    </xf>
    <xf numFmtId="49" fontId="9" fillId="5" borderId="3" applyNumberFormat="1" applyFont="1" applyFill="1" applyBorder="1" applyAlignment="1" applyProtection="0">
      <alignment horizontal="center" vertical="center"/>
    </xf>
    <xf numFmtId="0" fontId="10" fillId="3" borderId="3" applyNumberFormat="1" applyFont="1" applyFill="1" applyBorder="1" applyAlignment="1" applyProtection="0">
      <alignment horizontal="center" vertical="center"/>
    </xf>
    <xf numFmtId="49" fontId="10" fillId="3" borderId="3" applyNumberFormat="1" applyFont="1" applyFill="1" applyBorder="1" applyAlignment="1" applyProtection="0">
      <alignment horizontal="left" vertical="center"/>
    </xf>
    <xf numFmtId="3" fontId="10" fillId="3" borderId="3" applyNumberFormat="1" applyFont="1" applyFill="1" applyBorder="1" applyAlignment="1" applyProtection="0">
      <alignment horizontal="center" vertical="center"/>
    </xf>
    <xf numFmtId="49" fontId="10" fillId="3" borderId="3" applyNumberFormat="1" applyFont="1" applyFill="1" applyBorder="1" applyAlignment="1" applyProtection="0">
      <alignment horizontal="center" vertical="center"/>
    </xf>
    <xf numFmtId="59" fontId="10" fillId="3" borderId="3" applyNumberFormat="1" applyFont="1" applyFill="1" applyBorder="1" applyAlignment="1" applyProtection="0">
      <alignment horizontal="right" vertical="center"/>
    </xf>
    <xf numFmtId="0" fontId="10" fillId="6" borderId="3" applyNumberFormat="1" applyFont="1" applyFill="1" applyBorder="1" applyAlignment="1" applyProtection="0">
      <alignment horizontal="center" vertical="center"/>
    </xf>
    <xf numFmtId="49" fontId="10" fillId="6" borderId="3" applyNumberFormat="1" applyFont="1" applyFill="1" applyBorder="1" applyAlignment="1" applyProtection="0">
      <alignment horizontal="left" vertical="center"/>
    </xf>
    <xf numFmtId="3" fontId="10" fillId="6" borderId="3" applyNumberFormat="1" applyFont="1" applyFill="1" applyBorder="1" applyAlignment="1" applyProtection="0">
      <alignment horizontal="center" vertical="center"/>
    </xf>
    <xf numFmtId="49" fontId="10" fillId="6" borderId="3" applyNumberFormat="1" applyFont="1" applyFill="1" applyBorder="1" applyAlignment="1" applyProtection="0">
      <alignment horizontal="center" vertical="center"/>
    </xf>
    <xf numFmtId="59" fontId="10" fillId="6" borderId="3" applyNumberFormat="1" applyFont="1" applyFill="1" applyBorder="1" applyAlignment="1" applyProtection="0">
      <alignment horizontal="right" vertical="center"/>
    </xf>
    <xf numFmtId="49" fontId="8" fillId="3" borderId="3" applyNumberFormat="1" applyFont="1" applyFill="1" applyBorder="1" applyAlignment="1" applyProtection="0">
      <alignment horizontal="right" vertical="center"/>
    </xf>
    <xf numFmtId="0" fontId="8" fillId="3" borderId="3" applyNumberFormat="0" applyFont="1" applyFill="1" applyBorder="1" applyAlignment="1" applyProtection="0">
      <alignment horizontal="right" vertical="center"/>
    </xf>
    <xf numFmtId="0" fontId="0" borderId="3" applyNumberFormat="0" applyFont="1" applyFill="0" applyBorder="1" applyAlignment="1" applyProtection="0">
      <alignment vertical="bottom"/>
    </xf>
    <xf numFmtId="59" fontId="11" fillId="3" borderId="3" applyNumberFormat="1" applyFont="1" applyFill="1" applyBorder="1" applyAlignment="1" applyProtection="0">
      <alignment horizontal="right" vertical="center"/>
    </xf>
    <xf numFmtId="49" fontId="12" fillId="4" borderId="7" applyNumberFormat="1" applyFont="1" applyFill="1" applyBorder="1" applyAlignment="1" applyProtection="0">
      <alignment horizontal="right" vertical="center"/>
    </xf>
    <xf numFmtId="0" fontId="12" fillId="4" borderId="7" applyNumberFormat="0" applyFont="1" applyFill="1" applyBorder="1" applyAlignment="1" applyProtection="0">
      <alignment horizontal="right" vertical="center"/>
    </xf>
    <xf numFmtId="0" fontId="0" fillId="4" borderId="7" applyNumberFormat="0" applyFont="1" applyFill="1" applyBorder="1" applyAlignment="1" applyProtection="0">
      <alignment vertical="bottom"/>
    </xf>
    <xf numFmtId="59" fontId="13" fillId="4" borderId="7" applyNumberFormat="1" applyFont="1" applyFill="1" applyBorder="1" applyAlignment="1" applyProtection="0">
      <alignment horizontal="right" vertical="center"/>
    </xf>
    <xf numFmtId="0" fontId="0" borderId="8" applyNumberFormat="0" applyFont="1" applyFill="0" applyBorder="1" applyAlignment="1" applyProtection="0">
      <alignment vertical="bottom"/>
    </xf>
    <xf numFmtId="49" fontId="7" borderId="2" applyNumberFormat="1" applyFont="1" applyFill="0" applyBorder="1" applyAlignment="1" applyProtection="0">
      <alignment vertical="bottom"/>
    </xf>
    <xf numFmtId="0" fontId="7" borderId="2" applyNumberFormat="0" applyFont="1" applyFill="0" applyBorder="1" applyAlignment="1" applyProtection="0">
      <alignment vertical="bottom"/>
    </xf>
    <xf numFmtId="49" fontId="14" borderId="2" applyNumberFormat="1" applyFont="1" applyFill="0" applyBorder="1" applyAlignment="1" applyProtection="0">
      <alignment vertical="bottom"/>
    </xf>
    <xf numFmtId="0" fontId="14" borderId="2" applyNumberFormat="0" applyFont="1" applyFill="0" applyBorder="1" applyAlignment="1" applyProtection="0">
      <alignment vertical="bottom"/>
    </xf>
    <xf numFmtId="49" fontId="15" fillId="6" borderId="3" applyNumberFormat="1" applyFont="1" applyFill="1" applyBorder="1" applyAlignment="1" applyProtection="0">
      <alignment horizontal="center" vertical="center"/>
    </xf>
    <xf numFmtId="0" fontId="15" fillId="6" borderId="3" applyNumberFormat="0" applyFont="1" applyFill="1" applyBorder="1" applyAlignment="1" applyProtection="0">
      <alignment horizontal="center" vertical="center"/>
    </xf>
    <xf numFmtId="49" fontId="16" borderId="3" applyNumberFormat="1" applyFont="1" applyFill="0" applyBorder="1" applyAlignment="1" applyProtection="0">
      <alignment horizontal="center" vertical="bottom"/>
    </xf>
    <xf numFmtId="49" fontId="16" borderId="3" applyNumberFormat="1" applyFont="1" applyFill="0" applyBorder="1" applyAlignment="1" applyProtection="0">
      <alignment horizontal="center" vertical="bottom" wrapText="1"/>
    </xf>
    <xf numFmtId="0" fontId="16" borderId="3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bd5e1"/>
      <rgbColor rgb="ff1e293b"/>
      <rgbColor rgb="fff1f5f9"/>
      <rgbColor rgb="ff0f172a"/>
      <rgbColor rgb="ffffffff"/>
      <rgbColor rgb="ff64748b"/>
      <rgbColor rgb="ff334155"/>
      <rgbColor rgb="ffe2e8f0"/>
      <rgbColor rgb="fff8fafc"/>
      <rgbColor rgb="ff1e3a8a"/>
      <rgbColor rgb="ff475569"/>
      <rgbColor rgb="ff94a3b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0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22" style="1" customWidth="1"/>
    <col min="3" max="3" width="30" style="1" customWidth="1"/>
    <col min="4" max="4" width="10" style="1" customWidth="1"/>
    <col min="5" max="5" width="8" style="1" customWidth="1"/>
    <col min="6" max="6" width="15" style="1" customWidth="1"/>
    <col min="7" max="7" width="16" style="1" customWidth="1"/>
    <col min="8" max="16384" width="8.85156" style="1" customWidth="1"/>
  </cols>
  <sheetData>
    <row r="1" ht="13.55" customHeight="1">
      <c r="A1" s="2"/>
      <c r="B1" s="2"/>
      <c r="C1" s="3"/>
      <c r="D1" s="3"/>
      <c r="E1" s="3"/>
      <c r="F1" s="3"/>
      <c r="G1" s="3"/>
    </row>
    <row r="2" ht="27" customHeight="1">
      <c r="A2" t="s" s="4">
        <v>0</v>
      </c>
      <c r="B2" s="5"/>
      <c r="C2" t="s" s="6">
        <v>1</v>
      </c>
      <c r="D2" s="7"/>
      <c r="E2" s="7"/>
      <c r="F2" s="7"/>
      <c r="G2" s="7"/>
    </row>
    <row r="3" ht="17" customHeight="1">
      <c r="A3" s="5"/>
      <c r="B3" s="5"/>
      <c r="C3" t="s" s="8">
        <v>2</v>
      </c>
      <c r="D3" s="9"/>
      <c r="E3" s="9"/>
      <c r="F3" s="9"/>
      <c r="G3" s="9"/>
    </row>
    <row r="4" ht="17" customHeight="1">
      <c r="A4" s="5"/>
      <c r="B4" s="5"/>
      <c r="C4" t="s" s="10">
        <v>3</v>
      </c>
      <c r="D4" s="11"/>
      <c r="E4" s="11"/>
      <c r="F4" s="11"/>
      <c r="G4" s="11"/>
    </row>
    <row r="5" ht="13.55" customHeight="1">
      <c r="A5" s="12"/>
      <c r="B5" s="12"/>
      <c r="C5" s="2"/>
      <c r="D5" s="3"/>
      <c r="E5" s="2"/>
      <c r="F5" s="2"/>
      <c r="G5" s="2"/>
    </row>
    <row r="6" ht="17" customHeight="1">
      <c r="A6" t="s" s="13">
        <v>4</v>
      </c>
      <c r="B6" s="14"/>
      <c r="C6" s="14"/>
      <c r="D6" s="15"/>
      <c r="E6" t="s" s="13">
        <v>5</v>
      </c>
      <c r="F6" s="14"/>
      <c r="G6" s="14"/>
    </row>
    <row r="7" ht="15" customHeight="1">
      <c r="A7" t="s" s="16">
        <v>6</v>
      </c>
      <c r="B7" s="17"/>
      <c r="C7" s="17"/>
      <c r="D7" s="15"/>
      <c r="E7" t="s" s="16">
        <v>7</v>
      </c>
      <c r="F7" s="17"/>
      <c r="G7" s="17"/>
    </row>
    <row r="8" ht="15" customHeight="1">
      <c r="A8" t="s" s="16">
        <v>8</v>
      </c>
      <c r="B8" s="17"/>
      <c r="C8" s="17"/>
      <c r="D8" s="15"/>
      <c r="E8" t="s" s="16">
        <v>9</v>
      </c>
      <c r="F8" s="17"/>
      <c r="G8" s="17"/>
    </row>
    <row r="9" ht="15" customHeight="1">
      <c r="A9" t="s" s="16">
        <v>10</v>
      </c>
      <c r="B9" s="17"/>
      <c r="C9" s="17"/>
      <c r="D9" s="15"/>
      <c r="E9" t="s" s="16">
        <v>11</v>
      </c>
      <c r="F9" s="17"/>
      <c r="G9" s="17"/>
    </row>
    <row r="10" ht="15" customHeight="1">
      <c r="A10" t="s" s="16">
        <v>12</v>
      </c>
      <c r="B10" s="17"/>
      <c r="C10" s="17"/>
      <c r="D10" s="15"/>
      <c r="E10" t="s" s="16">
        <v>13</v>
      </c>
      <c r="F10" s="17"/>
      <c r="G10" s="17"/>
    </row>
    <row r="11" ht="13.55" customHeight="1">
      <c r="A11" s="12"/>
      <c r="B11" s="12"/>
      <c r="C11" s="12"/>
      <c r="D11" s="2"/>
      <c r="E11" s="12"/>
      <c r="F11" s="12"/>
      <c r="G11" s="12"/>
    </row>
    <row r="12" ht="24" customHeight="1">
      <c r="A12" t="s" s="18">
        <v>14</v>
      </c>
      <c r="B12" t="s" s="18">
        <v>15</v>
      </c>
      <c r="C12" t="s" s="18">
        <v>16</v>
      </c>
      <c r="D12" t="s" s="18">
        <v>17</v>
      </c>
      <c r="E12" t="s" s="18">
        <v>18</v>
      </c>
      <c r="F12" t="s" s="18">
        <v>19</v>
      </c>
      <c r="G12" t="s" s="18">
        <v>20</v>
      </c>
    </row>
    <row r="13" ht="22" customHeight="1">
      <c r="A13" s="19">
        <v>1</v>
      </c>
      <c r="B13" t="s" s="20">
        <v>21</v>
      </c>
      <c r="C13" t="s" s="20">
        <v>22</v>
      </c>
      <c r="D13" s="21">
        <v>1</v>
      </c>
      <c r="E13" t="s" s="22">
        <v>23</v>
      </c>
      <c r="F13" s="23">
        <v>65000</v>
      </c>
      <c r="G13" s="23" cm="1">
        <f t="array" ref="G13">D13*F13</f>
        <v>65000</v>
      </c>
    </row>
    <row r="14" ht="22" customHeight="1">
      <c r="A14" s="24">
        <v>2</v>
      </c>
      <c r="B14" t="s" s="25">
        <v>24</v>
      </c>
      <c r="C14" t="s" s="25">
        <v>25</v>
      </c>
      <c r="D14" s="26">
        <v>1</v>
      </c>
      <c r="E14" t="s" s="27">
        <v>26</v>
      </c>
      <c r="F14" s="28">
        <v>38000</v>
      </c>
      <c r="G14" s="28" cm="1">
        <f t="array" ref="G14">D14*F14</f>
        <v>38000</v>
      </c>
    </row>
    <row r="15" ht="22" customHeight="1">
      <c r="A15" s="19">
        <v>3</v>
      </c>
      <c r="B15" t="s" s="20">
        <v>27</v>
      </c>
      <c r="C15" t="s" s="20">
        <v>28</v>
      </c>
      <c r="D15" s="21">
        <v>2</v>
      </c>
      <c r="E15" t="s" s="22">
        <v>29</v>
      </c>
      <c r="F15" s="23">
        <v>15000</v>
      </c>
      <c r="G15" s="23" cm="1">
        <f t="array" ref="G15">D15*F15</f>
        <v>30000</v>
      </c>
    </row>
    <row r="16" ht="22" customHeight="1">
      <c r="A16" s="24">
        <v>4</v>
      </c>
      <c r="B16" t="s" s="25">
        <v>30</v>
      </c>
      <c r="C16" t="s" s="25">
        <v>31</v>
      </c>
      <c r="D16" s="26">
        <v>1</v>
      </c>
      <c r="E16" t="s" s="27">
        <v>32</v>
      </c>
      <c r="F16" s="28">
        <v>12000</v>
      </c>
      <c r="G16" s="28" cm="1">
        <f t="array" ref="G16">D16*F16</f>
        <v>12000</v>
      </c>
    </row>
    <row r="17" ht="22" customHeight="1">
      <c r="A17" s="19">
        <v>5</v>
      </c>
      <c r="B17" t="s" s="20">
        <v>33</v>
      </c>
      <c r="C17" t="s" s="20">
        <v>34</v>
      </c>
      <c r="D17" s="21">
        <v>12</v>
      </c>
      <c r="E17" t="s" s="22">
        <v>35</v>
      </c>
      <c r="F17" s="23">
        <v>3000</v>
      </c>
      <c r="G17" s="23" cm="1">
        <f t="array" ref="G17">D17*F17</f>
        <v>36000</v>
      </c>
    </row>
    <row r="18" ht="17" customHeight="1">
      <c r="A18" t="s" s="29">
        <v>36</v>
      </c>
      <c r="B18" s="30"/>
      <c r="C18" s="30"/>
      <c r="D18" s="30"/>
      <c r="E18" s="30"/>
      <c r="F18" s="31"/>
      <c r="G18" s="32" cm="1">
        <f t="array" ref="G18">SUM(G13:G17)</f>
        <v>181000</v>
      </c>
    </row>
    <row r="19" ht="17" customHeight="1">
      <c r="A19" t="s" s="29">
        <v>37</v>
      </c>
      <c r="B19" s="30"/>
      <c r="C19" s="30"/>
      <c r="D19" s="30"/>
      <c r="E19" s="30"/>
      <c r="F19" s="31"/>
      <c r="G19" s="32" cm="1">
        <f t="array" ref="G19">ROUND(G18*0.05,0)</f>
        <v>9050</v>
      </c>
    </row>
    <row r="20" ht="19" customHeight="1">
      <c r="A20" t="s" s="33">
        <v>38</v>
      </c>
      <c r="B20" s="34"/>
      <c r="C20" s="34"/>
      <c r="D20" s="34"/>
      <c r="E20" s="34"/>
      <c r="F20" s="35"/>
      <c r="G20" s="36" cm="1">
        <f t="array" ref="G20">G18+G19</f>
        <v>190050</v>
      </c>
    </row>
    <row r="21" ht="13.55" customHeight="1">
      <c r="A21" s="37"/>
      <c r="B21" s="37"/>
      <c r="C21" s="37"/>
      <c r="D21" s="37"/>
      <c r="E21" s="37"/>
      <c r="F21" s="37"/>
      <c r="G21" s="37"/>
    </row>
    <row r="22" ht="17" customHeight="1">
      <c r="A22" t="s" s="38">
        <v>39</v>
      </c>
      <c r="B22" s="39"/>
      <c r="C22" s="39"/>
      <c r="D22" s="39"/>
      <c r="E22" s="39"/>
      <c r="F22" s="39"/>
      <c r="G22" s="39"/>
    </row>
    <row r="23" ht="15" customHeight="1">
      <c r="A23" t="s" s="40">
        <v>40</v>
      </c>
      <c r="B23" s="41"/>
      <c r="C23" s="41"/>
      <c r="D23" s="41"/>
      <c r="E23" s="41"/>
      <c r="F23" s="41"/>
      <c r="G23" s="41"/>
    </row>
    <row r="24" ht="15" customHeight="1">
      <c r="A24" t="s" s="40">
        <v>41</v>
      </c>
      <c r="B24" s="41"/>
      <c r="C24" s="41"/>
      <c r="D24" s="41"/>
      <c r="E24" s="41"/>
      <c r="F24" s="41"/>
      <c r="G24" s="41"/>
    </row>
    <row r="25" ht="15" customHeight="1">
      <c r="A25" t="s" s="40">
        <v>42</v>
      </c>
      <c r="B25" s="41"/>
      <c r="C25" s="41"/>
      <c r="D25" s="41"/>
      <c r="E25" s="41"/>
      <c r="F25" s="41"/>
      <c r="G25" s="41"/>
    </row>
    <row r="26" ht="13.55" customHeight="1">
      <c r="A26" s="2"/>
      <c r="B26" s="2"/>
      <c r="C26" s="2"/>
      <c r="D26" s="3"/>
      <c r="E26" s="2"/>
      <c r="F26" s="2"/>
      <c r="G26" s="2"/>
    </row>
    <row r="27" ht="15" customHeight="1">
      <c r="A27" t="s" s="42">
        <v>43</v>
      </c>
      <c r="B27" s="43"/>
      <c r="C27" s="43"/>
      <c r="D27" s="15"/>
      <c r="E27" t="s" s="42">
        <v>44</v>
      </c>
      <c r="F27" s="43"/>
      <c r="G27" s="43"/>
    </row>
    <row r="28" ht="13.55" customHeight="1">
      <c r="A28" t="s" s="45">
        <v>45</v>
      </c>
      <c r="B28" s="46"/>
      <c r="C28" s="46"/>
      <c r="D28" s="15"/>
      <c r="E28" t="s" s="45">
        <v>46</v>
      </c>
      <c r="F28" s="46"/>
      <c r="G28" s="46"/>
    </row>
    <row r="29" ht="13.55" customHeight="1">
      <c r="A29" s="46"/>
      <c r="B29" s="46"/>
      <c r="C29" s="46"/>
      <c r="D29" s="15"/>
      <c r="E29" s="46"/>
      <c r="F29" s="46"/>
      <c r="G29" s="46"/>
    </row>
    <row r="30" ht="19.85" customHeight="1">
      <c r="A30" s="46"/>
      <c r="B30" s="46"/>
      <c r="C30" s="46"/>
      <c r="D30" s="15"/>
      <c r="E30" s="46"/>
      <c r="F30" s="46"/>
      <c r="G30" s="46"/>
    </row>
  </sheetData>
  <mergeCells count="25">
    <mergeCell ref="A2:B4"/>
    <mergeCell ref="C2:G2"/>
    <mergeCell ref="C3:G3"/>
    <mergeCell ref="C4:G4"/>
    <mergeCell ref="A6:C6"/>
    <mergeCell ref="E6:G6"/>
    <mergeCell ref="A7:C7"/>
    <mergeCell ref="E7:G7"/>
    <mergeCell ref="A8:C8"/>
    <mergeCell ref="E8:G8"/>
    <mergeCell ref="A9:C9"/>
    <mergeCell ref="E9:G9"/>
    <mergeCell ref="A10:C10"/>
    <mergeCell ref="E10:G10"/>
    <mergeCell ref="A18:E18"/>
    <mergeCell ref="A19:E19"/>
    <mergeCell ref="A20:E20"/>
    <mergeCell ref="A22:G22"/>
    <mergeCell ref="A23:G23"/>
    <mergeCell ref="A24:G24"/>
    <mergeCell ref="A25:G25"/>
    <mergeCell ref="A27:C27"/>
    <mergeCell ref="E27:G27"/>
    <mergeCell ref="A28:C30"/>
    <mergeCell ref="E28:G3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