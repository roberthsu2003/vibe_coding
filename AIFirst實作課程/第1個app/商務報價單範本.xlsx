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商務報價單" state="visible" r:id="rId4"/>
  </sheets>
  <calcPr calcId="171027"/>
</workbook>
</file>

<file path=xl/sharedStrings.xml><?xml version="1.0" encoding="utf-8"?>
<sst xmlns="http://schemas.openxmlformats.org/spreadsheetml/2006/main" count="50" uniqueCount="48">
  <si>
    <t xml:space="preserve">❖
ACME CORP
智慧科技</t>
  </si>
  <si>
    <t>商 務 報 價 單  /  QUOTATION</t>
  </si>
  <si>
    <t>報價單號：QT-20260926-001    |    報價日期：2026-09-26    |    有效期限：30 天</t>
  </si>
  <si>
    <t>專案名稱：企業數位轉型前端自動化與報價管理系統建置</t>
  </si>
  <si>
    <t>【 供應商資訊 (我方) 】</t>
  </si>
  <si>
    <t>【 客戶買受人資訊 】</t>
  </si>
  <si>
    <t>公司名稱：星創智慧科技有限公司</t>
  </si>
  <si>
    <t>客戶名稱：宏達數位傳媒行銷有限公司</t>
  </si>
  <si>
    <t>統一編號：88889999</t>
  </si>
  <si>
    <t>統一編號：12345678</t>
  </si>
  <si>
    <t>聯絡電話：(02) 2345-6789</t>
  </si>
  <si>
    <t>聯絡窗口：陳專案經理 (0912-345-678)</t>
  </si>
  <si>
    <t>公司地址：台北市信義區信義路五段7號</t>
  </si>
  <si>
    <t>通訊地址：台北市中山區南京東路二段100號</t>
  </si>
  <si>
    <t>項次</t>
  </si>
  <si>
    <t>項目名稱</t>
  </si>
  <si>
    <t>規格說明與功能簡述</t>
  </si>
  <si>
    <t>數量</t>
  </si>
  <si>
    <t>單位</t>
  </si>
  <si>
    <t>單價 (NTD)</t>
  </si>
  <si>
    <t>小計金額 (NTD)</t>
  </si>
  <si>
    <t>企業官網響應式切版</t>
  </si>
  <si>
    <t>React + TypeScript 現代化 RWD 視覺架構</t>
  </si>
  <si>
    <t>專案</t>
  </si>
  <si>
    <t>純前端 Excel 匯出模組</t>
  </si>
  <si>
    <t>ExcelJS 樣式渲染、多格式相容與離線下載</t>
  </si>
  <si>
    <t>套件</t>
  </si>
  <si>
    <t>商務邏輯與表單運算</t>
  </si>
  <si>
    <t>營業稅、千分位計算、動態增刪項目與防呆</t>
  </si>
  <si>
    <t>式</t>
  </si>
  <si>
    <t>系統教育訓練與交接</t>
  </si>
  <si>
    <t>提供完整原始碼、操作手冊與 4 小時講師訓練</t>
  </si>
  <si>
    <t>場次</t>
  </si>
  <si>
    <t>首年維護與技術諮詢</t>
  </si>
  <si>
    <t>日常功能保固、相依套件升級檢視與線上諮詢</t>
  </si>
  <si>
    <t>個月</t>
  </si>
  <si>
    <t>銷售額合計 (未稅 Subtotal)</t>
  </si>
  <si>
    <t/>
  </si>
  <si>
    <t>加值型營業稅 (VAT 5%)</t>
  </si>
  <si>
    <t>總計金額 (含稅 Grand Total NTD)</t>
  </si>
  <si>
    <t>【 交易條款與備註說明 】</t>
  </si>
  <si>
    <t>1. 付款條件：本專案依階段請款，簽約訂金 30%、期中展示驗收 40%、上線結案驗收 30%。</t>
  </si>
  <si>
    <t>2. 匯款專戶：玉山銀行 (808) 營業部  帳號：1234-567-890123  戶名：星創智慧科技有限公司</t>
  </si>
  <si>
    <t>3. 有效天數：本報價單內容自開立日起 30 日內有效，若逾期未確認需重新評估報價。</t>
  </si>
  <si>
    <t>供應商確認簽章 (發票章 / 大小章)</t>
  </si>
  <si>
    <t>客戶簽名確認回傳 (請簽名並加蓋公司用印)</t>
  </si>
  <si>
    <t xml:space="preserve">
( 請在此處蓋用印章 )
日期：   年   月   日</t>
  </si>
  <si>
    <t xml:space="preserve">
( 請在此處簽署並加蓋公司用印 )
日期：   年   月   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</si>
</sst>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NT$ #,##0"/>
  </numFmts>
  <fonts count="16" x14ac:knownFonts="1">
    <font>
      <color theme="1"/>
      <family val="2"/>
      <scheme val="minor"/>
      <sz val="11"/>
      <name val="Calibri"/>
    </font>
    <font>
      <b/>
      <color rgb="FF1E293B"/>
      <sz val="12"/>
      <name val="Microsoft JhengHei"/>
    </font>
    <font>
      <b/>
      <color rgb="FF0F172A"/>
      <sz val="18"/>
      <name val="Microsoft JhengHei"/>
    </font>
    <font>
      <color rgb="FF64748B"/>
      <sz val="10"/>
      <name val="Microsoft JhengHei"/>
    </font>
    <font>
      <b/>
      <color rgb="FF334155"/>
      <sz val="10"/>
      <name val="Microsoft JhengHei"/>
    </font>
    <font>
      <b/>
      <color rgb="FF1E293B"/>
      <sz val="10"/>
      <name val="Microsoft JhengHei"/>
    </font>
    <font>
      <color rgb="FF334155"/>
      <sz val="9"/>
      <name val="Microsoft JhengHei"/>
    </font>
    <font>
      <b/>
      <color rgb="FFFFFFFF"/>
      <sz val="10"/>
      <name val="Microsoft JhengHei"/>
    </font>
    <font>
      <sz val="9"/>
      <name val="Microsoft JhengHei"/>
    </font>
    <font>
      <b/>
      <color rgb="FF334155"/>
      <sz val="9"/>
      <name val="Microsoft JhengHei"/>
    </font>
    <font>
      <b/>
      <sz val="10"/>
      <name val="Microsoft JhengHei"/>
    </font>
    <font>
      <b/>
      <color rgb="FF0F172A"/>
      <sz val="11"/>
      <name val="Microsoft JhengHei"/>
    </font>
    <font>
      <b/>
      <color rgb="FF1E3A8A"/>
      <sz val="12"/>
      <name val="Microsoft JhengHei"/>
    </font>
    <font>
      <color rgb="FF64748B"/>
      <sz val="9"/>
      <name val="Microsoft JhengHei"/>
    </font>
    <font>
      <b/>
      <color rgb="FF475569"/>
      <sz val="9"/>
      <name val="Microsoft JhengHei"/>
    </font>
    <font>
      <color rgb="FF94A3B8"/>
      <sz val="8"/>
      <name val="Microsoft JhengHei"/>
    </font>
  </fonts>
  <fills count="6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1E293B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293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5" fillId="3" borderId="1" xfId="0" applyFont="1" applyFill="1" applyBorder="1"/>
    <xf numFmtId="0" fontId="6" fillId="0" borderId="1" xfId="0" applyFont="1" applyBorder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3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right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3" fontId="8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0" fontId="0" fillId="0" borderId="1" xfId="0" applyBorder="1"/>
    <xf numFmtId="164" fontId="10" fillId="0" borderId="1" xfId="0" applyNumberFormat="1" applyFont="1" applyBorder="1" applyAlignment="1">
      <alignment horizontal="right" vertical="center"/>
    </xf>
    <xf numFmtId="0" fontId="11" fillId="3" borderId="2" xfId="0" applyFont="1" applyFill="1" applyBorder="1" applyAlignment="1">
      <alignment horizontal="right" vertical="center"/>
    </xf>
    <xf numFmtId="0" fontId="0" fillId="3" borderId="2" xfId="0" applyFill="1" applyBorder="1"/>
    <xf numFmtId="164" fontId="12" fillId="3" borderId="2" xfId="0" applyNumberFormat="1" applyFont="1" applyFill="1" applyBorder="1" applyAlignment="1">
      <alignment horizontal="right" vertical="center"/>
    </xf>
    <xf numFmtId="0" fontId="5" fillId="0" borderId="0" xfId="0" applyFont="1"/>
    <xf numFmtId="0" fontId="13" fillId="0" borderId="0" xfId="0" applyFont="1"/>
    <xf numFmtId="0" fontId="14" fillId="5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G30"/>
  <sheetViews>
    <sheetView workbookViewId="0"/>
  </sheetViews>
  <sheetFormatPr defaultRowHeight="15" outlineLevelRow="0" outlineLevelCol="0" x14ac:dyDescent="55"/>
  <cols>
    <col min="1" max="1" width="8" customWidth="1"/>
    <col min="2" max="2" width="22" customWidth="1"/>
    <col min="3" max="3" width="30" customWidth="1"/>
    <col min="4" max="4" width="10" customWidth="1"/>
    <col min="5" max="5" width="8" customWidth="1"/>
    <col min="6" max="6" width="15" customWidth="1"/>
    <col min="7" max="7" width="16" customWidth="1"/>
  </cols>
  <sheetData>
    <row r="2" spans="1:7" x14ac:dyDescent="0.25">
      <c r="A2" s="1" t="s">
        <v>0</v>
      </c>
      <c r="B2" s="1"/>
      <c r="C2" s="2" t="s">
        <v>1</v>
      </c>
      <c r="D2" s="2"/>
      <c r="E2" s="2"/>
      <c r="F2" s="2"/>
      <c r="G2" s="2"/>
    </row>
    <row r="3" spans="1:7" x14ac:dyDescent="0.25">
      <c r="A3" s="1"/>
      <c r="B3" s="1"/>
      <c r="C3" s="3" t="s">
        <v>2</v>
      </c>
      <c r="D3" s="3"/>
      <c r="E3" s="3"/>
      <c r="F3" s="3"/>
      <c r="G3" s="3"/>
    </row>
    <row r="4" spans="1:7" x14ac:dyDescent="0.25">
      <c r="A4" s="1"/>
      <c r="B4" s="1"/>
      <c r="C4" s="4" t="s">
        <v>3</v>
      </c>
      <c r="D4" s="4"/>
      <c r="E4" s="4"/>
      <c r="F4" s="4"/>
      <c r="G4" s="4"/>
    </row>
    <row r="6" spans="1:7" x14ac:dyDescent="0.25">
      <c r="A6" s="5" t="s">
        <v>4</v>
      </c>
      <c r="B6" s="5"/>
      <c r="C6" s="5"/>
      <c r="E6" s="5" t="s">
        <v>5</v>
      </c>
      <c r="F6" s="5"/>
      <c r="G6" s="5"/>
    </row>
    <row r="7" spans="1:7" x14ac:dyDescent="0.25">
      <c r="A7" s="6" t="s">
        <v>6</v>
      </c>
      <c r="B7" s="6"/>
      <c r="C7" s="6"/>
      <c r="E7" s="6" t="s">
        <v>7</v>
      </c>
      <c r="F7" s="6"/>
      <c r="G7" s="6"/>
    </row>
    <row r="8" spans="1:7" x14ac:dyDescent="0.25">
      <c r="A8" s="6" t="s">
        <v>8</v>
      </c>
      <c r="B8" s="6"/>
      <c r="C8" s="6"/>
      <c r="E8" s="6" t="s">
        <v>9</v>
      </c>
      <c r="F8" s="6"/>
      <c r="G8" s="6"/>
    </row>
    <row r="9" spans="1:7" x14ac:dyDescent="0.25">
      <c r="A9" s="6" t="s">
        <v>10</v>
      </c>
      <c r="B9" s="6"/>
      <c r="C9" s="6"/>
      <c r="E9" s="6" t="s">
        <v>11</v>
      </c>
      <c r="F9" s="6"/>
      <c r="G9" s="6"/>
    </row>
    <row r="10" spans="1:7" x14ac:dyDescent="0.25">
      <c r="A10" s="6" t="s">
        <v>12</v>
      </c>
      <c r="B10" s="6"/>
      <c r="C10" s="6"/>
      <c r="E10" s="6" t="s">
        <v>13</v>
      </c>
      <c r="F10" s="6"/>
      <c r="G10" s="6"/>
    </row>
    <row r="12" ht="24" customHeight="1" spans="1:7" x14ac:dyDescent="0.25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  <c r="G12" s="7" t="s">
        <v>20</v>
      </c>
    </row>
    <row r="13" ht="22" customHeight="1" spans="1:7" x14ac:dyDescent="0.25">
      <c r="A13" s="8">
        <v>1</v>
      </c>
      <c r="B13" s="9" t="s">
        <v>21</v>
      </c>
      <c r="C13" s="9" t="s">
        <v>22</v>
      </c>
      <c r="D13" s="10">
        <v>1</v>
      </c>
      <c r="E13" s="8" t="s">
        <v>23</v>
      </c>
      <c r="F13" s="11">
        <v>65000</v>
      </c>
      <c r="G13" s="11">
        <f>D13*F13</f>
        <v>65000</v>
      </c>
    </row>
    <row r="14" ht="22" customHeight="1" spans="1:7" x14ac:dyDescent="0.25">
      <c r="A14" s="12">
        <v>2</v>
      </c>
      <c r="B14" s="13" t="s">
        <v>24</v>
      </c>
      <c r="C14" s="13" t="s">
        <v>25</v>
      </c>
      <c r="D14" s="14">
        <v>1</v>
      </c>
      <c r="E14" s="12" t="s">
        <v>26</v>
      </c>
      <c r="F14" s="15">
        <v>38000</v>
      </c>
      <c r="G14" s="15">
        <f>D14*F14</f>
        <v>38000</v>
      </c>
    </row>
    <row r="15" ht="22" customHeight="1" spans="1:7" x14ac:dyDescent="0.25">
      <c r="A15" s="8">
        <v>3</v>
      </c>
      <c r="B15" s="9" t="s">
        <v>27</v>
      </c>
      <c r="C15" s="9" t="s">
        <v>28</v>
      </c>
      <c r="D15" s="10">
        <v>2</v>
      </c>
      <c r="E15" s="8" t="s">
        <v>29</v>
      </c>
      <c r="F15" s="11">
        <v>15000</v>
      </c>
      <c r="G15" s="11">
        <f>D15*F15</f>
        <v>30000</v>
      </c>
    </row>
    <row r="16" ht="22" customHeight="1" spans="1:7" x14ac:dyDescent="0.25">
      <c r="A16" s="12">
        <v>4</v>
      </c>
      <c r="B16" s="13" t="s">
        <v>30</v>
      </c>
      <c r="C16" s="13" t="s">
        <v>31</v>
      </c>
      <c r="D16" s="14">
        <v>1</v>
      </c>
      <c r="E16" s="12" t="s">
        <v>32</v>
      </c>
      <c r="F16" s="15">
        <v>12000</v>
      </c>
      <c r="G16" s="15">
        <f>D16*F16</f>
        <v>12000</v>
      </c>
    </row>
    <row r="17" ht="22" customHeight="1" spans="1:7" x14ac:dyDescent="0.25">
      <c r="A17" s="8">
        <v>5</v>
      </c>
      <c r="B17" s="9" t="s">
        <v>33</v>
      </c>
      <c r="C17" s="9" t="s">
        <v>34</v>
      </c>
      <c r="D17" s="10">
        <v>12</v>
      </c>
      <c r="E17" s="8" t="s">
        <v>35</v>
      </c>
      <c r="F17" s="11">
        <v>3000</v>
      </c>
      <c r="G17" s="11">
        <f>D17*F17</f>
        <v>36000</v>
      </c>
    </row>
    <row r="18" spans="1:7" x14ac:dyDescent="0.25">
      <c r="A18" s="16" t="s">
        <v>36</v>
      </c>
      <c r="B18" s="16"/>
      <c r="C18" s="16"/>
      <c r="D18" s="16"/>
      <c r="E18" s="16"/>
      <c r="F18" s="17" t="s">
        <v>37</v>
      </c>
      <c r="G18" s="18">
        <f>SUM(G13:G17)</f>
        <v>181000</v>
      </c>
    </row>
    <row r="19" spans="1:7" x14ac:dyDescent="0.25">
      <c r="A19" s="16" t="s">
        <v>38</v>
      </c>
      <c r="B19" s="16"/>
      <c r="C19" s="16"/>
      <c r="D19" s="16"/>
      <c r="E19" s="16"/>
      <c r="F19" s="17" t="s">
        <v>37</v>
      </c>
      <c r="G19" s="18">
        <f>ROUND(G18*0.05, 0)</f>
        <v>9050</v>
      </c>
    </row>
    <row r="20" spans="1:7" x14ac:dyDescent="0.25">
      <c r="A20" s="19" t="s">
        <v>39</v>
      </c>
      <c r="B20" s="19"/>
      <c r="C20" s="19"/>
      <c r="D20" s="19"/>
      <c r="E20" s="19"/>
      <c r="F20" s="20" t="s">
        <v>37</v>
      </c>
      <c r="G20" s="21">
        <f>G18+G19</f>
        <v>190050</v>
      </c>
    </row>
    <row r="22" spans="1:7" x14ac:dyDescent="0.25">
      <c r="A22" s="22" t="s">
        <v>40</v>
      </c>
      <c r="B22" s="22"/>
      <c r="C22" s="22"/>
      <c r="D22" s="22"/>
      <c r="E22" s="22"/>
      <c r="F22" s="22"/>
      <c r="G22" s="22"/>
    </row>
    <row r="23" spans="1:7" x14ac:dyDescent="0.25">
      <c r="A23" s="23" t="s">
        <v>41</v>
      </c>
      <c r="B23" s="23"/>
      <c r="C23" s="23"/>
      <c r="D23" s="23"/>
      <c r="E23" s="23"/>
      <c r="F23" s="23"/>
      <c r="G23" s="23"/>
    </row>
    <row r="24" spans="1:7" x14ac:dyDescent="0.25">
      <c r="A24" s="23" t="s">
        <v>42</v>
      </c>
      <c r="B24" s="23"/>
      <c r="C24" s="23"/>
      <c r="D24" s="23"/>
      <c r="E24" s="23"/>
      <c r="F24" s="23"/>
      <c r="G24" s="23"/>
    </row>
    <row r="25" spans="1:7" x14ac:dyDescent="0.25">
      <c r="A25" s="23" t="s">
        <v>43</v>
      </c>
      <c r="B25" s="23"/>
      <c r="C25" s="23"/>
      <c r="D25" s="23"/>
      <c r="E25" s="23"/>
      <c r="F25" s="23"/>
      <c r="G25" s="23"/>
    </row>
    <row r="27" spans="1:7" x14ac:dyDescent="0.25">
      <c r="A27" s="24" t="s">
        <v>44</v>
      </c>
      <c r="B27" s="24"/>
      <c r="C27" s="24"/>
      <c r="E27" s="24" t="s">
        <v>45</v>
      </c>
      <c r="F27" s="24"/>
      <c r="G27" s="24"/>
    </row>
    <row r="28" spans="1:7" x14ac:dyDescent="0.25">
      <c r="A28" s="25" t="s">
        <v>46</v>
      </c>
      <c r="B28" s="25"/>
      <c r="C28" s="25"/>
      <c r="E28" s="25" t="s">
        <v>47</v>
      </c>
      <c r="F28" s="25"/>
      <c r="G28" s="25"/>
    </row>
    <row r="29" spans="1:7" x14ac:dyDescent="0.25">
      <c r="A29" s="25"/>
      <c r="B29" s="25"/>
      <c r="C29" s="25"/>
      <c r="E29" s="25"/>
      <c r="F29" s="25"/>
      <c r="G29" s="25"/>
    </row>
    <row r="30" spans="1:7" x14ac:dyDescent="0.25">
      <c r="A30" s="25"/>
      <c r="B30" s="25"/>
      <c r="C30" s="25"/>
      <c r="E30" s="25"/>
      <c r="F30" s="25"/>
      <c r="G30" s="25"/>
    </row>
  </sheetData>
  <mergeCells count="25">
    <mergeCell ref="A2:B4"/>
    <mergeCell ref="C2:G2"/>
    <mergeCell ref="C3:G3"/>
    <mergeCell ref="C4:G4"/>
    <mergeCell ref="A6:C6"/>
    <mergeCell ref="E6:G6"/>
    <mergeCell ref="A7:C7"/>
    <mergeCell ref="E7:G7"/>
    <mergeCell ref="A8:C8"/>
    <mergeCell ref="E8:G8"/>
    <mergeCell ref="A9:C9"/>
    <mergeCell ref="E9:G9"/>
    <mergeCell ref="A10:C10"/>
    <mergeCell ref="E10:G10"/>
    <mergeCell ref="A18:E18"/>
    <mergeCell ref="A19:E19"/>
    <mergeCell ref="A20:E20"/>
    <mergeCell ref="A22:G22"/>
    <mergeCell ref="A23:G23"/>
    <mergeCell ref="A24:G24"/>
    <mergeCell ref="A25:G25"/>
    <mergeCell ref="A27:C27"/>
    <mergeCell ref="E27:G27"/>
    <mergeCell ref="A28:C30"/>
    <mergeCell ref="E28:G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商務報價單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 First 實作課程</dc:creator>
  <dc:title/>
  <dc:subject/>
  <dc:description/>
  <cp:keywords/>
  <cp:category/>
  <cp:lastModifiedBy>Antigravity</cp:lastModifiedBy>
  <dcterms:created xsi:type="dcterms:W3CDTF">2026-09-26T06:10:01Z</dcterms:created>
  <dcterms:modified xsi:type="dcterms:W3CDTF">2026-09-26T06:10:01Z</dcterms:modified>
</cp:coreProperties>
</file>